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ocuments\Web\333 TRS Weather AI\docs\"/>
    </mc:Choice>
  </mc:AlternateContent>
  <xr:revisionPtr revIDLastSave="0" documentId="8_{2023E4D3-2067-4B3F-A5AC-330908596175}" xr6:coauthVersionLast="47" xr6:coauthVersionMax="47" xr10:uidLastSave="{00000000-0000-0000-0000-000000000000}"/>
  <bookViews>
    <workbookView xWindow="2625" yWindow="2445" windowWidth="27885" windowHeight="14325" xr2:uid="{00000000-000D-0000-FFFF-FFFF00000000}"/>
  </bookViews>
  <sheets>
    <sheet name="TAF Forecast Reasoning" sheetId="15" r:id="rId1"/>
    <sheet name="Sheet2" sheetId="2" r:id="rId2"/>
    <sheet name="DO NOT TOUC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3" l="1"/>
  <c r="H6" i="3"/>
  <c r="J6" i="3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<sst xmlns="http://schemas.openxmlformats.org/spreadsheetml/2006/main" count="84" uniqueCount="64">
  <si>
    <t>TAF Forecast Reasoning Worksheet</t>
  </si>
  <si>
    <t>Element</t>
  </si>
  <si>
    <t>Meteorological Reasoning (Justification)</t>
  </si>
  <si>
    <t>Clouds</t>
  </si>
  <si>
    <t>Icing</t>
  </si>
  <si>
    <t>Wind</t>
  </si>
  <si>
    <t>Turbulence</t>
  </si>
  <si>
    <t>Precipitation</t>
  </si>
  <si>
    <t>Visibility</t>
  </si>
  <si>
    <t>Temperature</t>
  </si>
  <si>
    <t>Pressure</t>
  </si>
  <si>
    <t>No Precipitation</t>
  </si>
  <si>
    <t>Drizzle / Rain</t>
  </si>
  <si>
    <t>Freezing Rain</t>
  </si>
  <si>
    <t>Mixed Precipitation</t>
  </si>
  <si>
    <t>Overcast</t>
  </si>
  <si>
    <t>Mostly
Cloudy</t>
  </si>
  <si>
    <t>Mostly Cloudy</t>
  </si>
  <si>
    <t>Partly Cloudy</t>
  </si>
  <si>
    <t>Clear</t>
  </si>
  <si>
    <t>Snow</t>
  </si>
  <si>
    <t>Thunderstorm</t>
  </si>
  <si>
    <t>Thunder Snow</t>
  </si>
  <si>
    <t>Mostly 
Cloudy</t>
  </si>
  <si>
    <t>↓</t>
  </si>
  <si>
    <t>↙</t>
  </si>
  <si>
    <t>-- Rain --</t>
  </si>
  <si>
    <t>←</t>
  </si>
  <si>
    <t>Rain &amp; Overcast</t>
  </si>
  <si>
    <t>↖</t>
  </si>
  <si>
    <t>Rain &amp; Mostly Cloudy</t>
  </si>
  <si>
    <t>↑</t>
  </si>
  <si>
    <t>Rain &amp; Partly Cloudy</t>
  </si>
  <si>
    <t>↗</t>
  </si>
  <si>
    <t>-- Freezing Precipitation --</t>
  </si>
  <si>
    <t>→</t>
  </si>
  <si>
    <t>Freezing Rain &amp; Overcast</t>
  </si>
  <si>
    <t>↘</t>
  </si>
  <si>
    <t>Freezing Rain &amp; Mostly Cloudy</t>
  </si>
  <si>
    <t>Freezing Rain &amp; Partly Cloudy</t>
  </si>
  <si>
    <t>-- Mixed Precipitation --</t>
  </si>
  <si>
    <t>Mix Precipitation &amp; Overcast</t>
  </si>
  <si>
    <t>Mix Precipitation &amp; Mostly Cloudy</t>
  </si>
  <si>
    <t>Mix Precipitation &amp; Partly Cloudy</t>
  </si>
  <si>
    <t>-- Snow --</t>
  </si>
  <si>
    <t>Snow &amp; Overcast</t>
  </si>
  <si>
    <t>Snow &amp; Mostly Cloudy</t>
  </si>
  <si>
    <t>Snow &amp; Partly Cloudy</t>
  </si>
  <si>
    <t>-- Thunderstorm --</t>
  </si>
  <si>
    <t>Thunderstorm &amp; Overcast</t>
  </si>
  <si>
    <t>Thunderstorm &amp; Mostly Cloudy</t>
  </si>
  <si>
    <t>Thunderstorm &amp; Partly Cloudy</t>
  </si>
  <si>
    <t>-- Thundersnow --</t>
  </si>
  <si>
    <t>Thundersnow &amp; Overcast</t>
  </si>
  <si>
    <t>Thundersnow &amp; Mostly Cloudy</t>
  </si>
  <si>
    <t>Thundersnow &amp; Partly Cloudy</t>
  </si>
  <si>
    <t>No icing is expected because the forecast shows clear conditions, no precipitation, and a temperature near 50°F. Continue to monitor observations for changes.</t>
  </si>
  <si>
    <t>Wind is forecast from 360 degrees at 5 kt, a light northerly flow. No significant wind or crosswind concern is indicated.</t>
  </si>
  <si>
    <t>No significant turbulence is expected. The light wind and absence of convection support generally smooth conditions.</t>
  </si>
  <si>
    <t>No precipitation is forecast. No weather group for rain, freezing precipitation, snow, or thunderstorms is indicated.</t>
  </si>
  <si>
    <t>Visibility is forecast at 10 statute miles, which is unrestricted and favorable for the station forecast period.</t>
  </si>
  <si>
    <t>Temperature is forecast near 50°F. Conditions are benign for routine station operations, with no temperature-driven restriction indicated.</t>
  </si>
  <si>
    <t>A pressure value or trend is not present in the available forecast inputs. Confirm the latest altimeter setting and pressure tendency before issuing the TAF.</t>
  </si>
  <si>
    <t>Clear skies are forecast, but confidence is low because no explicit ceiling or cloud-group details are provided. Favorable aviation conditions are possible, but the TAF cloud group should be verified.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</si>
</sst>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2" x14ac:knownFonts="1">
    <font>
      <sz val="11"/>
      <color theme="1"/>
      <name val="Aptos Narrow"/>
    </font>
    <font>
      <b/>
      <sz val="11"/>
      <color theme="1"/>
      <name val="Aptos Narrow"/>
    </font>
    <font>
      <sz val="22"/>
      <color theme="1"/>
      <name val="Aptos Narrow"/>
    </font>
    <font>
      <sz val="22"/>
      <color theme="1"/>
      <name val="Aptos Narrow"/>
    </font>
    <font>
      <b/>
      <sz val="36"/>
      <color theme="1"/>
      <name val="Aptos Narrow"/>
    </font>
    <font>
      <b/>
      <sz val="36"/>
      <color theme="1"/>
      <name val="Microsoft YaHei"/>
    </font>
    <font>
      <b/>
      <sz val="26"/>
      <color theme="1"/>
      <name val="Aptos Narrow"/>
    </font>
    <font>
      <b/>
      <sz val="24"/>
      <color theme="1"/>
      <name val="Aptos Narrow"/>
    </font>
    <font>
      <b/>
      <sz val="16"/>
      <color theme="1"/>
      <name val="Aptos Narrow"/>
    </font>
    <font>
      <sz val="14"/>
      <color theme="1"/>
      <name val="Aptos Narrow"/>
    </font>
    <font>
      <sz val="11"/>
      <color theme="1"/>
      <name val="Aptos Narrow"/>
    </font>
    <font>
      <b/>
      <sz val="26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1"/>
      </patternFill>
    </fill>
    <fill>
      <patternFill patternType="solid">
        <fgColor theme="2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164" fontId="0" fillId="0" borderId="0" xfId="0" applyNumberForma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left" vertical="top" wrapText="1"/>
    </xf>
    <xf numFmtId="0" fontId="9" fillId="3" borderId="2" xfId="0" applyFont="1" applyFill="1" applyBorder="1" applyAlignment="1">
      <alignment horizontal="left" vertical="top" wrapText="1"/>
    </xf>
    <xf numFmtId="0" fontId="7" fillId="4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left" vertical="top" wrapText="1"/>
    </xf>
    <xf numFmtId="0" fontId="9" fillId="2" borderId="5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" xfId="0" builtinId="0"/>
    <cellStyle name="Normal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zoomScale="40" zoomScaleNormal="40" workbookViewId="0">
      <selection activeCell="B3" sqref="B3:B6"/>
    </sheetView>
  </sheetViews>
  <sheetFormatPr defaultColWidth="8.7109375" defaultRowHeight="15" x14ac:dyDescent="0.25"/>
  <cols>
    <col min="1" max="1" width="42.5703125" customWidth="1"/>
    <col min="2" max="2" width="151.28515625" customWidth="1"/>
  </cols>
  <sheetData>
    <row r="1" spans="1:2" ht="34.5" x14ac:dyDescent="0.25">
      <c r="A1" s="19" t="s">
        <v>0</v>
      </c>
      <c r="B1" s="19"/>
    </row>
    <row r="2" spans="1:2" ht="31.5" x14ac:dyDescent="0.25">
      <c r="A2" s="12" t="s">
        <v>1</v>
      </c>
      <c r="B2" s="12" t="s">
        <v>2</v>
      </c>
    </row>
    <row r="3" spans="1:2" ht="35.450000000000003" customHeight="1" x14ac:dyDescent="0.25">
      <c r="A3" s="13" t="s">
        <v>3</v>
      </c>
      <c r="B3" s="16" t="s">
        <v>63</v>
      </c>
    </row>
    <row r="4" spans="1:2" ht="35.450000000000003" customHeight="1" x14ac:dyDescent="0.25">
      <c r="A4" s="14"/>
      <c r="B4" s="17"/>
    </row>
    <row r="5" spans="1:2" ht="35.450000000000003" customHeight="1" x14ac:dyDescent="0.25">
      <c r="A5" s="14"/>
      <c r="B5" s="17"/>
    </row>
    <row r="6" spans="1:2" ht="35.450000000000003" customHeight="1" x14ac:dyDescent="0.25">
      <c r="A6" s="15"/>
      <c r="B6" s="18"/>
    </row>
    <row r="7" spans="1:2" ht="21" x14ac:dyDescent="0.25">
      <c r="A7" s="10"/>
      <c r="B7" s="11"/>
    </row>
    <row r="8" spans="1:2" ht="35.450000000000003" customHeight="1" x14ac:dyDescent="0.25">
      <c r="A8" s="13" t="s">
        <v>4</v>
      </c>
      <c r="B8" s="16" t="s">
        <v>56</v>
      </c>
    </row>
    <row r="9" spans="1:2" ht="35.450000000000003" customHeight="1" x14ac:dyDescent="0.25">
      <c r="A9" s="14"/>
      <c r="B9" s="17"/>
    </row>
    <row r="10" spans="1:2" ht="35.450000000000003" customHeight="1" x14ac:dyDescent="0.25">
      <c r="A10" s="14"/>
      <c r="B10" s="17"/>
    </row>
    <row r="11" spans="1:2" ht="35.450000000000003" customHeight="1" x14ac:dyDescent="0.25">
      <c r="A11" s="15"/>
      <c r="B11" s="18"/>
    </row>
    <row r="12" spans="1:2" ht="21" x14ac:dyDescent="0.25">
      <c r="A12" s="10"/>
      <c r="B12" s="11"/>
    </row>
    <row r="13" spans="1:2" ht="35.450000000000003" customHeight="1" x14ac:dyDescent="0.25">
      <c r="A13" s="13" t="s">
        <v>5</v>
      </c>
      <c r="B13" s="16" t="s">
        <v>57</v>
      </c>
    </row>
    <row r="14" spans="1:2" ht="35.450000000000003" customHeight="1" x14ac:dyDescent="0.25">
      <c r="A14" s="14"/>
      <c r="B14" s="17"/>
    </row>
    <row r="15" spans="1:2" ht="35.450000000000003" customHeight="1" x14ac:dyDescent="0.25">
      <c r="A15" s="14"/>
      <c r="B15" s="17"/>
    </row>
    <row r="16" spans="1:2" ht="35.450000000000003" customHeight="1" x14ac:dyDescent="0.25">
      <c r="A16" s="15"/>
      <c r="B16" s="18"/>
    </row>
    <row r="17" spans="1:2" ht="21" x14ac:dyDescent="0.25">
      <c r="A17" s="10"/>
      <c r="B17" s="11"/>
    </row>
    <row r="18" spans="1:2" ht="35.450000000000003" customHeight="1" x14ac:dyDescent="0.25">
      <c r="A18" s="13" t="s">
        <v>6</v>
      </c>
      <c r="B18" s="16" t="s">
        <v>58</v>
      </c>
    </row>
    <row r="19" spans="1:2" ht="35.450000000000003" customHeight="1" x14ac:dyDescent="0.25">
      <c r="A19" s="14"/>
      <c r="B19" s="17"/>
    </row>
    <row r="20" spans="1:2" ht="35.450000000000003" customHeight="1" x14ac:dyDescent="0.25">
      <c r="A20" s="14"/>
      <c r="B20" s="17"/>
    </row>
    <row r="21" spans="1:2" ht="15.75" customHeight="1" x14ac:dyDescent="0.25">
      <c r="A21" s="15"/>
      <c r="B21" s="18"/>
    </row>
    <row r="22" spans="1:2" ht="21" x14ac:dyDescent="0.25">
      <c r="A22" s="10"/>
      <c r="B22" s="11"/>
    </row>
    <row r="23" spans="1:2" ht="35.450000000000003" customHeight="1" x14ac:dyDescent="0.25">
      <c r="A23" s="13" t="s">
        <v>7</v>
      </c>
      <c r="B23" s="16" t="s">
        <v>59</v>
      </c>
    </row>
    <row r="24" spans="1:2" ht="35.450000000000003" customHeight="1" x14ac:dyDescent="0.25">
      <c r="A24" s="14"/>
      <c r="B24" s="17"/>
    </row>
    <row r="25" spans="1:2" ht="35.450000000000003" customHeight="1" x14ac:dyDescent="0.25">
      <c r="A25" s="14"/>
      <c r="B25" s="17"/>
    </row>
    <row r="26" spans="1:2" ht="15.75" customHeight="1" x14ac:dyDescent="0.25">
      <c r="A26" s="15"/>
      <c r="B26" s="18"/>
    </row>
    <row r="27" spans="1:2" ht="21" x14ac:dyDescent="0.25">
      <c r="A27" s="10"/>
      <c r="B27" s="11"/>
    </row>
    <row r="28" spans="1:2" ht="35.450000000000003" customHeight="1" x14ac:dyDescent="0.25">
      <c r="A28" s="13" t="s">
        <v>8</v>
      </c>
      <c r="B28" s="16" t="s">
        <v>60</v>
      </c>
    </row>
    <row r="29" spans="1:2" ht="35.450000000000003" customHeight="1" x14ac:dyDescent="0.25">
      <c r="A29" s="14"/>
      <c r="B29" s="17"/>
    </row>
    <row r="30" spans="1:2" ht="35.450000000000003" customHeight="1" x14ac:dyDescent="0.25">
      <c r="A30" s="14"/>
      <c r="B30" s="17"/>
    </row>
    <row r="31" spans="1:2" ht="15.75" customHeight="1" x14ac:dyDescent="0.25">
      <c r="A31" s="15"/>
      <c r="B31" s="18"/>
    </row>
    <row r="32" spans="1:2" ht="21" x14ac:dyDescent="0.25">
      <c r="A32" s="10"/>
      <c r="B32" s="11"/>
    </row>
    <row r="33" spans="1:2" ht="35.450000000000003" customHeight="1" x14ac:dyDescent="0.25">
      <c r="A33" s="13" t="s">
        <v>9</v>
      </c>
      <c r="B33" s="16" t="s">
        <v>61</v>
      </c>
    </row>
    <row r="34" spans="1:2" ht="35.450000000000003" customHeight="1" x14ac:dyDescent="0.25">
      <c r="A34" s="14"/>
      <c r="B34" s="17"/>
    </row>
    <row r="35" spans="1:2" ht="35.450000000000003" customHeight="1" x14ac:dyDescent="0.25">
      <c r="A35" s="14"/>
      <c r="B35" s="17"/>
    </row>
    <row r="36" spans="1:2" ht="15.75" customHeight="1" x14ac:dyDescent="0.25">
      <c r="A36" s="15"/>
      <c r="B36" s="18"/>
    </row>
    <row r="37" spans="1:2" ht="21" x14ac:dyDescent="0.25">
      <c r="A37" s="10"/>
      <c r="B37" s="11"/>
    </row>
    <row r="38" spans="1:2" ht="35.450000000000003" customHeight="1" x14ac:dyDescent="0.25">
      <c r="A38" s="13" t="s">
        <v>10</v>
      </c>
      <c r="B38" s="16" t="s">
        <v>62</v>
      </c>
    </row>
    <row r="39" spans="1:2" ht="35.450000000000003" customHeight="1" x14ac:dyDescent="0.25">
      <c r="A39" s="14"/>
      <c r="B39" s="17"/>
    </row>
    <row r="40" spans="1:2" ht="35.450000000000003" customHeight="1" x14ac:dyDescent="0.25">
      <c r="A40" s="14"/>
      <c r="B40" s="17"/>
    </row>
    <row r="41" spans="1:2" ht="15.75" customHeight="1" x14ac:dyDescent="0.25">
      <c r="A41" s="15"/>
      <c r="B41" s="18"/>
    </row>
    <row r="42" spans="1:2" ht="21" x14ac:dyDescent="0.25">
      <c r="A42" s="10"/>
      <c r="B42" s="11"/>
    </row>
  </sheetData>
  <mergeCells count="17">
    <mergeCell ref="A33:A36"/>
    <mergeCell ref="B33:B36"/>
    <mergeCell ref="A38:A41"/>
    <mergeCell ref="B38:B41"/>
    <mergeCell ref="A18:A21"/>
    <mergeCell ref="B18:B21"/>
    <mergeCell ref="A23:A26"/>
    <mergeCell ref="B23:B26"/>
    <mergeCell ref="A28:A31"/>
    <mergeCell ref="B28:B31"/>
    <mergeCell ref="A13:A16"/>
    <mergeCell ref="B13:B16"/>
    <mergeCell ref="A1:B1"/>
    <mergeCell ref="A3:A6"/>
    <mergeCell ref="B3:B6"/>
    <mergeCell ref="A8:A11"/>
    <mergeCell ref="B8:B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13"/>
  <sheetViews>
    <sheetView workbookViewId="0"/>
  </sheetViews>
  <sheetFormatPr defaultRowHeight="15" x14ac:dyDescent="0.25"/>
  <cols>
    <col min="1" max="3" width="9.140625" customWidth="1"/>
  </cols>
  <sheetData>
    <row r="2" spans="1:14" x14ac:dyDescent="0.25">
      <c r="A2" s="20" t="s">
        <v>11</v>
      </c>
      <c r="B2" s="20"/>
      <c r="D2" s="20" t="s">
        <v>12</v>
      </c>
      <c r="E2" s="20"/>
      <c r="G2" s="20" t="s">
        <v>13</v>
      </c>
      <c r="H2" s="20"/>
      <c r="J2" s="20" t="s">
        <v>14</v>
      </c>
      <c r="K2" s="20"/>
    </row>
    <row r="4" spans="1:14" ht="46.5" customHeight="1" x14ac:dyDescent="0.25">
      <c r="A4" s="1" t="s">
        <v>15</v>
      </c>
      <c r="B4" s="1" t="e" vm="1">
        <v>#VALUE!</v>
      </c>
      <c r="C4" s="1"/>
      <c r="D4" s="1" t="s">
        <v>15</v>
      </c>
      <c r="E4" s="1" t="e" vm="1">
        <v>#VALUE!</v>
      </c>
      <c r="F4" s="1"/>
      <c r="G4" s="1" t="s">
        <v>15</v>
      </c>
      <c r="H4" s="1" t="e" vm="1">
        <v>#VALUE!</v>
      </c>
      <c r="I4" s="1"/>
      <c r="J4" s="1" t="s">
        <v>15</v>
      </c>
      <c r="K4" s="1" t="e" vm="1">
        <v>#VALUE!</v>
      </c>
      <c r="L4" s="1"/>
    </row>
    <row r="5" spans="1:14" ht="46.5" customHeight="1" x14ac:dyDescent="0.25">
      <c r="A5" s="2" t="s">
        <v>16</v>
      </c>
      <c r="B5" s="1" t="e" vm="1">
        <v>#VALUE!</v>
      </c>
      <c r="C5" s="1"/>
      <c r="D5" s="2" t="s">
        <v>17</v>
      </c>
      <c r="E5" s="1" t="e" vm="1">
        <v>#VALUE!</v>
      </c>
      <c r="F5" s="1"/>
      <c r="G5" s="2" t="s">
        <v>17</v>
      </c>
      <c r="H5" s="1" t="e" vm="1">
        <v>#VALUE!</v>
      </c>
      <c r="I5" s="1"/>
      <c r="J5" s="2" t="s">
        <v>17</v>
      </c>
      <c r="K5" s="1" t="e" vm="1">
        <v>#VALUE!</v>
      </c>
      <c r="L5" s="1"/>
    </row>
    <row r="6" spans="1:14" ht="46.5" customHeight="1" x14ac:dyDescent="0.25">
      <c r="A6" s="2" t="s">
        <v>18</v>
      </c>
      <c r="B6" s="1" t="e" vm="1">
        <v>#VALUE!</v>
      </c>
      <c r="C6" s="1"/>
      <c r="D6" s="2" t="s">
        <v>18</v>
      </c>
      <c r="E6" s="1" t="e" vm="1">
        <v>#VALUE!</v>
      </c>
      <c r="F6" s="1"/>
      <c r="G6" s="2" t="s">
        <v>18</v>
      </c>
      <c r="H6" s="1" t="e" vm="1">
        <v>#VALUE!</v>
      </c>
      <c r="I6" s="1"/>
      <c r="J6" s="2" t="s">
        <v>18</v>
      </c>
      <c r="K6" s="1" t="e" vm="1">
        <v>#VALUE!</v>
      </c>
      <c r="L6" s="1"/>
    </row>
    <row r="7" spans="1:14" ht="46.5" customHeight="1" x14ac:dyDescent="0.25">
      <c r="A7" s="1" t="s">
        <v>19</v>
      </c>
      <c r="B7" s="1" t="e" vm="1">
        <v>#VALUE!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4.25" customHeight="1" x14ac:dyDescent="0.25"/>
    <row r="9" spans="1:14" ht="15" customHeight="1" x14ac:dyDescent="0.25">
      <c r="A9" s="20" t="s">
        <v>20</v>
      </c>
      <c r="B9" s="20"/>
      <c r="D9" s="20" t="s">
        <v>21</v>
      </c>
      <c r="E9" s="20"/>
      <c r="G9" s="20" t="s">
        <v>22</v>
      </c>
      <c r="H9" s="20"/>
    </row>
    <row r="10" spans="1:14" ht="15" customHeight="1" x14ac:dyDescent="0.25"/>
    <row r="11" spans="1:14" ht="46.5" customHeight="1" x14ac:dyDescent="0.25">
      <c r="A11" s="1" t="s">
        <v>15</v>
      </c>
      <c r="B11" s="1" t="e" vm="1">
        <v>#VALUE!</v>
      </c>
      <c r="D11" s="1" t="s">
        <v>15</v>
      </c>
      <c r="E11" t="e" vm="1">
        <v>#VALUE!</v>
      </c>
      <c r="G11" s="1" t="s">
        <v>15</v>
      </c>
      <c r="H11" t="e" vm="1">
        <v>#VALUE!</v>
      </c>
    </row>
    <row r="12" spans="1:14" ht="46.5" customHeight="1" x14ac:dyDescent="0.25">
      <c r="A12" s="2" t="s">
        <v>17</v>
      </c>
      <c r="B12" s="1" t="e" vm="1">
        <v>#VALUE!</v>
      </c>
      <c r="D12" s="2" t="s">
        <v>17</v>
      </c>
      <c r="E12" t="e" vm="1">
        <v>#VALUE!</v>
      </c>
      <c r="G12" s="2" t="s">
        <v>17</v>
      </c>
      <c r="H12" t="e" vm="1">
        <v>#VALUE!</v>
      </c>
    </row>
    <row r="13" spans="1:14" ht="46.5" customHeight="1" x14ac:dyDescent="0.25">
      <c r="A13" s="2" t="s">
        <v>18</v>
      </c>
      <c r="B13" s="1" t="e" vm="1">
        <v>#VALUE!</v>
      </c>
      <c r="D13" s="2" t="s">
        <v>18</v>
      </c>
      <c r="E13" t="e" vm="1">
        <v>#VALUE!</v>
      </c>
      <c r="G13" s="2" t="s">
        <v>18</v>
      </c>
      <c r="H13" t="e" vm="1">
        <v>#VALUE!</v>
      </c>
    </row>
  </sheetData>
  <mergeCells count="7">
    <mergeCell ref="A2:B2"/>
    <mergeCell ref="D2:E2"/>
    <mergeCell ref="G2:H2"/>
    <mergeCell ref="J2:K2"/>
    <mergeCell ref="A9:B9"/>
    <mergeCell ref="G9:H9"/>
    <mergeCell ref="D9:E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31"/>
  <sheetViews>
    <sheetView workbookViewId="0"/>
  </sheetViews>
  <sheetFormatPr defaultRowHeight="15" x14ac:dyDescent="0.25"/>
  <cols>
    <col min="1" max="1" width="25" customWidth="1"/>
    <col min="2" max="2" width="9.140625" customWidth="1"/>
    <col min="3" max="3" width="28" customWidth="1"/>
    <col min="8" max="8" width="9.140625" customWidth="1"/>
  </cols>
  <sheetData>
    <row r="2" spans="1:24" x14ac:dyDescent="0.25">
      <c r="A2" s="20"/>
      <c r="B2" s="20"/>
      <c r="D2" s="20"/>
      <c r="E2" s="20"/>
      <c r="G2" s="20"/>
      <c r="H2" s="20"/>
      <c r="J2" s="20"/>
      <c r="K2" s="20"/>
    </row>
    <row r="4" spans="1:24" ht="42" customHeight="1" x14ac:dyDescent="0.25">
      <c r="A4" s="1" t="s">
        <v>15</v>
      </c>
      <c r="B4" s="1" t="e" vm="1">
        <v>#VALUE!</v>
      </c>
      <c r="F4" s="1"/>
      <c r="I4" s="1"/>
      <c r="L4" s="1"/>
    </row>
    <row r="5" spans="1:24" ht="42" customHeight="1" x14ac:dyDescent="0.25">
      <c r="A5" s="2" t="s">
        <v>23</v>
      </c>
      <c r="B5" s="1" t="e" vm="1">
        <v>#VALUE!</v>
      </c>
      <c r="F5" s="1"/>
      <c r="H5" s="7">
        <v>360</v>
      </c>
      <c r="I5" s="1"/>
      <c r="L5" s="1"/>
    </row>
    <row r="6" spans="1:24" ht="42" customHeight="1" x14ac:dyDescent="0.25">
      <c r="A6" s="2" t="s">
        <v>18</v>
      </c>
      <c r="B6" s="1" t="e" vm="1">
        <v>#VALUE!</v>
      </c>
      <c r="F6" s="5" t="s">
        <v>24</v>
      </c>
      <c r="H6" s="9" t="str">
        <f>IF(H5&gt;=350,F6,IF(H5=0,F6,IF(H5&gt;=10&lt;80,F7,IF(H5&gt;=80&lt;100,F8,IF(H5&gt;=100&lt;170,F9,IF(H5&gt;=170&lt;190,F10,IF(H5&gt;=190&lt;260,F11,IF(H5&gt;=260&lt;280,F12,IF(H5&gt;=280&lt;350,F13,CHAR(23))))))))))</f>
        <v>↓</v>
      </c>
      <c r="I6" s="1"/>
      <c r="J6" s="8" t="str">
        <f>TRIM(H6)</f>
        <v>↓</v>
      </c>
      <c r="L6" s="1"/>
    </row>
    <row r="7" spans="1:24" ht="42" customHeight="1" x14ac:dyDescent="0.25">
      <c r="A7" s="1" t="s">
        <v>19</v>
      </c>
      <c r="B7" s="1" t="e" vm="1">
        <v>#VALUE!</v>
      </c>
      <c r="E7" s="1"/>
      <c r="F7" s="5" t="s">
        <v>25</v>
      </c>
      <c r="G7" s="1"/>
      <c r="H7" s="1"/>
      <c r="I7" s="1" t="str">
        <f>IF(H5&gt;=350,F6,IF(H5=0,F6,IF(AND(H5&gt;=10,H5&lt;80),F7,IF(AND(H5&gt;=80,H5&lt;100),F8,IF(AND(H5&gt;=100,H5&lt;170),F9,IF(AND(H5&gt;=170,H5&lt;190),F10,IF(AND(H5&gt;=190,H5&lt;260),F11,IF(AND(H5&gt;=260,H5&lt;280),F12,IF(AND(H5&gt;=280,H5&lt;350),F13,CHAR(23))))))))))</f>
        <v>↓</v>
      </c>
      <c r="J7" s="6"/>
      <c r="K7" s="1"/>
      <c r="L7" s="1"/>
      <c r="M7" s="1"/>
      <c r="N7" s="1"/>
    </row>
    <row r="8" spans="1:24" ht="42" customHeight="1" x14ac:dyDescent="0.25">
      <c r="A8" s="1"/>
      <c r="B8" s="3" t="s">
        <v>26</v>
      </c>
      <c r="E8" s="1"/>
      <c r="F8" s="4" t="s">
        <v>27</v>
      </c>
      <c r="G8" s="1"/>
      <c r="H8" s="1"/>
      <c r="I8" s="1"/>
      <c r="J8" s="1"/>
      <c r="K8" s="1"/>
      <c r="L8" s="1"/>
      <c r="M8" s="1"/>
      <c r="N8" s="1"/>
    </row>
    <row r="9" spans="1:24" ht="42" customHeight="1" x14ac:dyDescent="0.25">
      <c r="A9" s="1" t="s">
        <v>28</v>
      </c>
      <c r="B9" s="1" t="e" vm="1">
        <v>#VALUE!</v>
      </c>
      <c r="F9" s="5" t="s">
        <v>29</v>
      </c>
    </row>
    <row r="10" spans="1:24" ht="42" customHeight="1" x14ac:dyDescent="0.25">
      <c r="A10" s="2" t="s">
        <v>30</v>
      </c>
      <c r="B10" s="1" t="e" vm="1">
        <v>#VALUE!</v>
      </c>
      <c r="F10" s="5" t="s">
        <v>31</v>
      </c>
      <c r="Q10" s="20"/>
      <c r="R10" s="20"/>
      <c r="T10" s="20"/>
      <c r="U10" s="20"/>
      <c r="W10" s="20"/>
      <c r="X10" s="20"/>
    </row>
    <row r="11" spans="1:24" ht="42" customHeight="1" x14ac:dyDescent="0.25">
      <c r="A11" s="2" t="s">
        <v>32</v>
      </c>
      <c r="B11" s="1" t="e" vm="1">
        <v>#VALUE!</v>
      </c>
      <c r="F11" s="5" t="s">
        <v>33</v>
      </c>
    </row>
    <row r="12" spans="1:24" ht="42" customHeight="1" x14ac:dyDescent="0.25">
      <c r="A12" s="2"/>
      <c r="B12" s="3" t="s">
        <v>34</v>
      </c>
      <c r="F12" s="5" t="s">
        <v>35</v>
      </c>
    </row>
    <row r="13" spans="1:24" ht="42" customHeight="1" x14ac:dyDescent="0.25">
      <c r="A13" s="1" t="s">
        <v>36</v>
      </c>
      <c r="B13" s="1" t="e" vm="1">
        <v>#VALUE!</v>
      </c>
      <c r="F13" s="5" t="s">
        <v>37</v>
      </c>
    </row>
    <row r="14" spans="1:24" ht="42" customHeight="1" x14ac:dyDescent="0.25">
      <c r="A14" s="2" t="s">
        <v>38</v>
      </c>
      <c r="B14" s="1" t="e" vm="1">
        <v>#VALUE!</v>
      </c>
    </row>
    <row r="15" spans="1:24" ht="42" customHeight="1" x14ac:dyDescent="0.25">
      <c r="A15" s="2" t="s">
        <v>39</v>
      </c>
      <c r="B15" s="1" t="e" vm="1">
        <v>#VALUE!</v>
      </c>
    </row>
    <row r="16" spans="1:24" ht="42" customHeight="1" x14ac:dyDescent="0.25">
      <c r="A16" s="2"/>
      <c r="B16" s="3" t="s">
        <v>40</v>
      </c>
    </row>
    <row r="17" spans="1:2" ht="42" customHeight="1" x14ac:dyDescent="0.25">
      <c r="A17" s="1" t="s">
        <v>41</v>
      </c>
      <c r="B17" s="1" t="e" vm="1">
        <v>#VALUE!</v>
      </c>
    </row>
    <row r="18" spans="1:2" ht="42" customHeight="1" x14ac:dyDescent="0.25">
      <c r="A18" s="2" t="s">
        <v>42</v>
      </c>
      <c r="B18" s="1" t="e" vm="1">
        <v>#VALUE!</v>
      </c>
    </row>
    <row r="19" spans="1:2" ht="42" customHeight="1" x14ac:dyDescent="0.25">
      <c r="A19" s="2" t="s">
        <v>43</v>
      </c>
      <c r="B19" s="1" t="e" vm="1">
        <v>#VALUE!</v>
      </c>
    </row>
    <row r="20" spans="1:2" ht="42" customHeight="1" x14ac:dyDescent="0.25">
      <c r="A20" s="2"/>
      <c r="B20" s="3" t="s">
        <v>44</v>
      </c>
    </row>
    <row r="21" spans="1:2" x14ac:dyDescent="0.25">
      <c r="A21" s="1" t="s">
        <v>45</v>
      </c>
      <c r="B21" s="1" t="e" vm="1">
        <v>#VALUE!</v>
      </c>
    </row>
    <row r="22" spans="1:2" x14ac:dyDescent="0.25">
      <c r="A22" s="2" t="s">
        <v>46</v>
      </c>
      <c r="B22" s="1" t="e" vm="1">
        <v>#VALUE!</v>
      </c>
    </row>
    <row r="23" spans="1:2" x14ac:dyDescent="0.25">
      <c r="A23" s="2" t="s">
        <v>47</v>
      </c>
      <c r="B23" s="1" t="e" vm="1">
        <v>#VALUE!</v>
      </c>
    </row>
    <row r="24" spans="1:2" x14ac:dyDescent="0.25">
      <c r="A24" s="2"/>
      <c r="B24" s="3" t="s">
        <v>48</v>
      </c>
    </row>
    <row r="25" spans="1:2" x14ac:dyDescent="0.25">
      <c r="A25" s="1" t="s">
        <v>49</v>
      </c>
      <c r="B25" t="e" vm="1">
        <v>#VALUE!</v>
      </c>
    </row>
    <row r="26" spans="1:2" ht="30" x14ac:dyDescent="0.25">
      <c r="A26" s="2" t="s">
        <v>50</v>
      </c>
      <c r="B26" t="e" vm="1">
        <v>#VALUE!</v>
      </c>
    </row>
    <row r="27" spans="1:2" ht="30" x14ac:dyDescent="0.25">
      <c r="A27" s="2" t="s">
        <v>51</v>
      </c>
      <c r="B27" t="e" vm="1">
        <v>#VALUE!</v>
      </c>
    </row>
    <row r="28" spans="1:2" x14ac:dyDescent="0.25">
      <c r="A28" s="2"/>
      <c r="B28" s="3" t="s">
        <v>52</v>
      </c>
    </row>
    <row r="29" spans="1:2" x14ac:dyDescent="0.25">
      <c r="A29" s="1" t="s">
        <v>53</v>
      </c>
      <c r="B29" t="e" vm="1">
        <v>#VALUE!</v>
      </c>
    </row>
    <row r="30" spans="1:2" ht="30" x14ac:dyDescent="0.25">
      <c r="A30" s="2" t="s">
        <v>54</v>
      </c>
      <c r="B30" t="e" vm="1">
        <v>#VALUE!</v>
      </c>
    </row>
    <row r="31" spans="1:2" ht="30" x14ac:dyDescent="0.25">
      <c r="A31" s="2" t="s">
        <v>55</v>
      </c>
      <c r="B31" t="e" vm="1">
        <v>#VALUE!</v>
      </c>
    </row>
  </sheetData>
  <mergeCells count="7">
    <mergeCell ref="T10:U10"/>
    <mergeCell ref="W10:X10"/>
    <mergeCell ref="A2:B2"/>
    <mergeCell ref="D2:E2"/>
    <mergeCell ref="G2:H2"/>
    <mergeCell ref="J2:K2"/>
    <mergeCell ref="Q10:R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TAF Forecast Reasoning</vt:lpstr>
      <vt:lpstr>Sheet2</vt:lpstr>
      <vt:lpstr>DO NOT TOUCH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Michael Taylor</cp:lastModifiedBy>
  <dcterms:created xsi:type="dcterms:W3CDTF">2026-08-03T16:51:57Z</dcterms:created>
  <dcterms:modified xsi:type="dcterms:W3CDTF">2026-08-03T16:51:58Z</dcterms:modified>
</cp:coreProperties>
</file>